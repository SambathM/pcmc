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ROJECTS\uk-313\"/>
    </mc:Choice>
  </mc:AlternateContent>
  <xr:revisionPtr revIDLastSave="0" documentId="13_ncr:1_{864B199C-1771-4F53-8F4D-C8CD9588BF9F}" xr6:coauthVersionLast="47" xr6:coauthVersionMax="47" xr10:uidLastSave="{00000000-0000-0000-0000-000000000000}"/>
  <bookViews>
    <workbookView xWindow="-120" yWindow="-120" windowWidth="29040" windowHeight="15720" activeTab="2" xr2:uid="{C070EF46-8DC9-4297-B0E7-8FE618700B4F}"/>
  </bookViews>
  <sheets>
    <sheet name="Sheet1" sheetId="1" r:id="rId1"/>
    <sheet name="35% dis" sheetId="3" r:id="rId2"/>
    <sheet name="monthly-fe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4" l="1"/>
  <c r="D12" i="4"/>
  <c r="D11" i="4"/>
  <c r="D10" i="4"/>
  <c r="C18" i="3"/>
  <c r="C16" i="3"/>
  <c r="C15" i="3"/>
  <c r="C18" i="1"/>
</calcChain>
</file>

<file path=xl/sharedStrings.xml><?xml version="1.0" encoding="utf-8"?>
<sst xmlns="http://schemas.openxmlformats.org/spreadsheetml/2006/main" count="67" uniqueCount="45">
  <si>
    <t>Module</t>
  </si>
  <si>
    <t>Price (USD)</t>
  </si>
  <si>
    <t>User &amp; Role Management</t>
  </si>
  <si>
    <t>Telegram Integration</t>
  </si>
  <si>
    <t>Customer Management</t>
  </si>
  <si>
    <t>Location Management</t>
  </si>
  <si>
    <t>Service Management</t>
  </si>
  <si>
    <t>Template Engine</t>
  </si>
  <si>
    <t>Excel/CSV Import</t>
  </si>
  <si>
    <t>Auto Reminder Scheduler</t>
  </si>
  <si>
    <t>Dashboard &amp; Reports</t>
  </si>
  <si>
    <t>Audit &amp; Message Logs</t>
  </si>
  <si>
    <t>#</t>
  </si>
  <si>
    <t>Total</t>
  </si>
  <si>
    <t>ABA Auto Settle Payment</t>
  </si>
  <si>
    <t>Quotation</t>
  </si>
  <si>
    <t>UK CONDO Property Collection Management System</t>
  </si>
  <si>
    <t>Remark</t>
  </si>
  <si>
    <t>Additional monthly fee will be added based on selected modules</t>
  </si>
  <si>
    <t>Additional monthly fee is used for Server Hosting and System Maintantence</t>
  </si>
  <si>
    <t>150$ to 250$</t>
  </si>
  <si>
    <t>Monthly Fee</t>
  </si>
  <si>
    <t>Sub Total</t>
  </si>
  <si>
    <t>Grand Total</t>
  </si>
  <si>
    <t>After Discount</t>
  </si>
  <si>
    <t>Monthly Maintenance &amp; Hosting Service</t>
  </si>
  <si>
    <t>Total Monthly Fee: USD 150 / Month</t>
  </si>
  <si>
    <t>No.</t>
  </si>
  <si>
    <t>Item</t>
  </si>
  <si>
    <t>Description</t>
  </si>
  <si>
    <t>System Maintenance &amp; Support</t>
  </si>
  <si>
    <t>System monitoring, troubleshooting, bug fixes, user support, operational assistance, and minor system adjustments</t>
  </si>
  <si>
    <t>Telegram Integration Maintenance</t>
  </si>
  <si>
    <t>Telegram connectivity monitoring, message delivery monitoring, integration maintenance, and issue resolution</t>
  </si>
  <si>
    <t>Database Hosting &amp; Management</t>
  </si>
  <si>
    <t>Customer data storage, database management, performance optimization, and maintenance</t>
  </si>
  <si>
    <t>Backup &amp; Recovery Service</t>
  </si>
  <si>
    <t>Daily database backup, file backup, data retention, and recovery support</t>
  </si>
  <si>
    <t>Application Hosting Infrastructure</t>
  </si>
  <si>
    <t>Application server resources, cloud storage, network services, and system availability</t>
  </si>
  <si>
    <t>Security &amp; Monitoring</t>
  </si>
  <si>
    <t>Security monitoring, access control monitoring, performance monitoring, and preventive maintenance</t>
  </si>
  <si>
    <t>1 Year</t>
  </si>
  <si>
    <t>20% Discount for first 2 years</t>
  </si>
  <si>
    <t xml:space="preserve">15% Discount after year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</si>
</sst>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70" formatCode="&quot;$&quot;#,##0.00"/>
    <numFmt numFmtId="173" formatCode="#&quot;% Discount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rgb="FF0F4761"/>
      <name val="Aptos Display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0" fontId="0" fillId="0" borderId="1" xfId="1" applyNumberFormat="1" applyFont="1" applyBorder="1"/>
    <xf numFmtId="0" fontId="2" fillId="0" borderId="1" xfId="0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0" fontId="0" fillId="0" borderId="1" xfId="1" applyNumberFormat="1" applyFont="1" applyBorder="1" applyAlignment="1">
      <alignment horizontal="right" vertical="center"/>
    </xf>
    <xf numFmtId="173" fontId="0" fillId="0" borderId="1" xfId="0" applyNumberFormat="1" applyBorder="1" applyAlignment="1">
      <alignment horizontal="right" vertical="center" wrapText="1"/>
    </xf>
    <xf numFmtId="170" fontId="0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173" fontId="6" fillId="0" borderId="1" xfId="0" applyNumberFormat="1" applyFont="1" applyBorder="1" applyAlignment="1">
      <alignment horizontal="right" vertical="center" wrapText="1"/>
    </xf>
    <xf numFmtId="6" fontId="6" fillId="0" borderId="1" xfId="0" applyNumberFormat="1" applyFont="1" applyBorder="1" applyAlignment="1">
      <alignment horizontal="right" vertical="center" wrapText="1" indent="1"/>
    </xf>
    <xf numFmtId="6" fontId="0" fillId="0" borderId="1" xfId="0" applyNumberFormat="1" applyBorder="1" applyAlignment="1">
      <alignment horizontal="right" vertical="center" indent="1"/>
    </xf>
    <xf numFmtId="6" fontId="2" fillId="0" borderId="1" xfId="0" applyNumberFormat="1" applyFont="1" applyBorder="1" applyAlignment="1">
      <alignment horizontal="right" vertical="center" indent="1"/>
    </xf>
    <xf numFmtId="0" fontId="8" fillId="0" borderId="0" xfId="0" applyFont="1" applyAlignment="1">
      <alignment horizontal="left" vertical="center" indent="1"/>
    </xf>
    <xf numFmtId="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77D5-5F6C-4E26-8396-018C0AEAD30D}">
  <sheetPr>
    <pageSetUpPr fitToPage="1"/>
  </sheetPr>
  <dimension ref="A1:C22"/>
  <sheetViews>
    <sheetView topLeftCell="A10" workbookViewId="0">
      <selection activeCell="F12" sqref="F12"/>
    </sheetView>
  </sheetViews>
  <sheetFormatPr defaultRowHeight="15" x14ac:dyDescent="0.25"/>
  <cols>
    <col min="1" max="1" width="9.140625" style="2"/>
    <col min="2" max="2" width="75" style="4" bestFit="1" customWidth="1"/>
    <col min="3" max="3" width="21.5703125" customWidth="1"/>
  </cols>
  <sheetData>
    <row r="1" spans="1:3" ht="24" x14ac:dyDescent="0.25">
      <c r="B1" s="3"/>
    </row>
    <row r="2" spans="1:3" ht="24" x14ac:dyDescent="0.25">
      <c r="B2" s="6" t="s">
        <v>16</v>
      </c>
    </row>
    <row r="3" spans="1:3" ht="24" x14ac:dyDescent="0.25">
      <c r="B3" s="6"/>
    </row>
    <row r="4" spans="1:3" ht="24" x14ac:dyDescent="0.25">
      <c r="B4" s="3" t="s">
        <v>15</v>
      </c>
    </row>
    <row r="5" spans="1:3" ht="18.75" customHeight="1" x14ac:dyDescent="0.25">
      <c r="B5" s="3"/>
    </row>
    <row r="6" spans="1:3" ht="25.5" customHeight="1" x14ac:dyDescent="0.25">
      <c r="A6" s="10" t="s">
        <v>12</v>
      </c>
      <c r="B6" s="11" t="s">
        <v>0</v>
      </c>
      <c r="C6" s="12" t="s">
        <v>1</v>
      </c>
    </row>
    <row r="7" spans="1:3" ht="27" customHeight="1" x14ac:dyDescent="0.25">
      <c r="A7" s="8">
        <v>1</v>
      </c>
      <c r="B7" s="13" t="s">
        <v>2</v>
      </c>
      <c r="C7" s="14">
        <v>350</v>
      </c>
    </row>
    <row r="8" spans="1:3" ht="27" customHeight="1" x14ac:dyDescent="0.25">
      <c r="A8" s="8">
        <v>2</v>
      </c>
      <c r="B8" s="13" t="s">
        <v>3</v>
      </c>
      <c r="C8" s="14">
        <v>650</v>
      </c>
    </row>
    <row r="9" spans="1:3" ht="27" customHeight="1" x14ac:dyDescent="0.25">
      <c r="A9" s="8">
        <v>3</v>
      </c>
      <c r="B9" s="13" t="s">
        <v>4</v>
      </c>
      <c r="C9" s="14">
        <v>550</v>
      </c>
    </row>
    <row r="10" spans="1:3" ht="27" customHeight="1" x14ac:dyDescent="0.25">
      <c r="A10" s="8">
        <v>4</v>
      </c>
      <c r="B10" s="13" t="s">
        <v>5</v>
      </c>
      <c r="C10" s="14">
        <v>350</v>
      </c>
    </row>
    <row r="11" spans="1:3" ht="27" customHeight="1" x14ac:dyDescent="0.25">
      <c r="A11" s="8">
        <v>5</v>
      </c>
      <c r="B11" s="13" t="s">
        <v>6</v>
      </c>
      <c r="C11" s="14">
        <v>350</v>
      </c>
    </row>
    <row r="12" spans="1:3" ht="27" customHeight="1" x14ac:dyDescent="0.25">
      <c r="A12" s="8">
        <v>6</v>
      </c>
      <c r="B12" s="13" t="s">
        <v>7</v>
      </c>
      <c r="C12" s="14">
        <v>550</v>
      </c>
    </row>
    <row r="13" spans="1:3" ht="27" customHeight="1" x14ac:dyDescent="0.25">
      <c r="A13" s="8">
        <v>7</v>
      </c>
      <c r="B13" s="13" t="s">
        <v>8</v>
      </c>
      <c r="C13" s="14">
        <v>550</v>
      </c>
    </row>
    <row r="14" spans="1:3" ht="27" customHeight="1" x14ac:dyDescent="0.25">
      <c r="A14" s="8">
        <v>8</v>
      </c>
      <c r="B14" s="13" t="s">
        <v>9</v>
      </c>
      <c r="C14" s="14">
        <v>850</v>
      </c>
    </row>
    <row r="15" spans="1:3" ht="27" customHeight="1" x14ac:dyDescent="0.25">
      <c r="A15" s="8">
        <v>9</v>
      </c>
      <c r="B15" s="13" t="s">
        <v>10</v>
      </c>
      <c r="C15" s="14">
        <v>850</v>
      </c>
    </row>
    <row r="16" spans="1:3" ht="27" customHeight="1" x14ac:dyDescent="0.25">
      <c r="A16" s="8">
        <v>10</v>
      </c>
      <c r="B16" s="13" t="s">
        <v>11</v>
      </c>
      <c r="C16" s="14">
        <v>250</v>
      </c>
    </row>
    <row r="17" spans="1:3" ht="27" customHeight="1" x14ac:dyDescent="0.25">
      <c r="A17" s="8">
        <v>11</v>
      </c>
      <c r="B17" s="13" t="s">
        <v>14</v>
      </c>
      <c r="C17" s="14">
        <v>850</v>
      </c>
    </row>
    <row r="18" spans="1:3" ht="26.25" customHeight="1" x14ac:dyDescent="0.25">
      <c r="B18" s="15" t="s">
        <v>13</v>
      </c>
      <c r="C18" s="16">
        <f>SUM(C7:C17)</f>
        <v>6150</v>
      </c>
    </row>
    <row r="19" spans="1:3" ht="37.5" customHeight="1" x14ac:dyDescent="0.25">
      <c r="B19" s="5"/>
    </row>
    <row r="20" spans="1:3" ht="21" customHeight="1" x14ac:dyDescent="0.25">
      <c r="B20" s="10" t="s">
        <v>17</v>
      </c>
      <c r="C20" s="10" t="s">
        <v>21</v>
      </c>
    </row>
    <row r="21" spans="1:3" ht="21" customHeight="1" x14ac:dyDescent="0.25">
      <c r="B21" s="17" t="s">
        <v>18</v>
      </c>
      <c r="C21" s="9" t="s">
        <v>20</v>
      </c>
    </row>
    <row r="22" spans="1:3" ht="21" customHeight="1" x14ac:dyDescent="0.25">
      <c r="B22" s="17" t="s">
        <v>19</v>
      </c>
      <c r="C22" s="9"/>
    </row>
  </sheetData>
  <mergeCells count="1">
    <mergeCell ref="C21:C22"/>
  </mergeCells>
  <pageMargins left="0.7" right="0.7" top="0.75" bottom="0.75" header="0.3" footer="0.3"/>
  <pageSetup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DB25-4357-4098-8919-3FC54F1693DC}">
  <sheetPr>
    <pageSetUpPr fitToPage="1"/>
  </sheetPr>
  <dimension ref="A1:C22"/>
  <sheetViews>
    <sheetView topLeftCell="A4" workbookViewId="0">
      <selection activeCell="H7" sqref="H7"/>
    </sheetView>
  </sheetViews>
  <sheetFormatPr defaultRowHeight="15" x14ac:dyDescent="0.25"/>
  <cols>
    <col min="1" max="1" width="9.140625" style="2"/>
    <col min="2" max="2" width="75" style="4" bestFit="1" customWidth="1"/>
    <col min="3" max="3" width="21.5703125" customWidth="1"/>
  </cols>
  <sheetData>
    <row r="1" spans="1:3" ht="24" x14ac:dyDescent="0.25">
      <c r="B1" s="3"/>
    </row>
    <row r="2" spans="1:3" ht="24" x14ac:dyDescent="0.25">
      <c r="B2" s="6" t="s">
        <v>16</v>
      </c>
    </row>
    <row r="3" spans="1:3" ht="24" x14ac:dyDescent="0.25">
      <c r="B3" s="6"/>
    </row>
    <row r="4" spans="1:3" ht="24" x14ac:dyDescent="0.25">
      <c r="B4" s="3" t="s">
        <v>15</v>
      </c>
    </row>
    <row r="5" spans="1:3" ht="18.75" customHeight="1" x14ac:dyDescent="0.25">
      <c r="B5" s="3"/>
    </row>
    <row r="6" spans="1:3" ht="25.5" customHeight="1" x14ac:dyDescent="0.25">
      <c r="A6" s="10" t="s">
        <v>12</v>
      </c>
      <c r="B6" s="11" t="s">
        <v>0</v>
      </c>
      <c r="C6" s="12" t="s">
        <v>1</v>
      </c>
    </row>
    <row r="7" spans="1:3" ht="27" customHeight="1" x14ac:dyDescent="0.25">
      <c r="A7" s="8">
        <v>1</v>
      </c>
      <c r="B7" s="13" t="s">
        <v>2</v>
      </c>
      <c r="C7" s="20">
        <v>350</v>
      </c>
    </row>
    <row r="8" spans="1:3" ht="27" customHeight="1" x14ac:dyDescent="0.25">
      <c r="A8" s="8">
        <v>2</v>
      </c>
      <c r="B8" s="13" t="s">
        <v>3</v>
      </c>
      <c r="C8" s="20">
        <v>650</v>
      </c>
    </row>
    <row r="9" spans="1:3" ht="27" customHeight="1" x14ac:dyDescent="0.25">
      <c r="A9" s="8">
        <v>3</v>
      </c>
      <c r="B9" s="13" t="s">
        <v>4</v>
      </c>
      <c r="C9" s="20">
        <v>550</v>
      </c>
    </row>
    <row r="10" spans="1:3" ht="27" customHeight="1" x14ac:dyDescent="0.25">
      <c r="A10" s="8">
        <v>4</v>
      </c>
      <c r="B10" s="13" t="s">
        <v>5</v>
      </c>
      <c r="C10" s="20">
        <v>350</v>
      </c>
    </row>
    <row r="11" spans="1:3" ht="27" customHeight="1" x14ac:dyDescent="0.25">
      <c r="A11" s="8">
        <v>5</v>
      </c>
      <c r="B11" s="13" t="s">
        <v>6</v>
      </c>
      <c r="C11" s="20">
        <v>350</v>
      </c>
    </row>
    <row r="12" spans="1:3" ht="27" customHeight="1" x14ac:dyDescent="0.25">
      <c r="A12" s="8">
        <v>6</v>
      </c>
      <c r="B12" s="13" t="s">
        <v>7</v>
      </c>
      <c r="C12" s="20">
        <v>550</v>
      </c>
    </row>
    <row r="13" spans="1:3" ht="27" customHeight="1" x14ac:dyDescent="0.25">
      <c r="A13" s="8">
        <v>7</v>
      </c>
      <c r="B13" s="13" t="s">
        <v>8</v>
      </c>
      <c r="C13" s="20">
        <v>550</v>
      </c>
    </row>
    <row r="14" spans="1:3" ht="27" customHeight="1" x14ac:dyDescent="0.25">
      <c r="A14" s="8">
        <v>8</v>
      </c>
      <c r="B14" s="13" t="s">
        <v>9</v>
      </c>
      <c r="C14" s="20">
        <v>850</v>
      </c>
    </row>
    <row r="15" spans="1:3" ht="27" customHeight="1" x14ac:dyDescent="0.25">
      <c r="A15" s="7"/>
      <c r="B15" s="19">
        <v>35</v>
      </c>
      <c r="C15" s="18">
        <f>SUM(C7:C14)*$B$15/100</f>
        <v>1470</v>
      </c>
    </row>
    <row r="16" spans="1:3" ht="27" customHeight="1" x14ac:dyDescent="0.25">
      <c r="A16" s="7"/>
      <c r="B16" s="19" t="s">
        <v>24</v>
      </c>
      <c r="C16" s="18">
        <f>SUM(C7:C14)-$C$15</f>
        <v>2730</v>
      </c>
    </row>
    <row r="17" spans="1:3" ht="27" customHeight="1" x14ac:dyDescent="0.25">
      <c r="A17" s="7"/>
      <c r="B17" s="19" t="s">
        <v>21</v>
      </c>
      <c r="C17" s="18">
        <v>150</v>
      </c>
    </row>
    <row r="18" spans="1:3" ht="26.25" customHeight="1" x14ac:dyDescent="0.25">
      <c r="B18" s="15" t="s">
        <v>23</v>
      </c>
      <c r="C18" s="16">
        <f>C16+C17</f>
        <v>2880</v>
      </c>
    </row>
    <row r="19" spans="1:3" ht="37.5" customHeight="1" x14ac:dyDescent="0.25">
      <c r="B19" s="5"/>
    </row>
    <row r="20" spans="1:3" ht="21" customHeight="1" x14ac:dyDescent="0.25">
      <c r="B20" s="10" t="s">
        <v>17</v>
      </c>
      <c r="C20" s="10" t="s">
        <v>21</v>
      </c>
    </row>
    <row r="21" spans="1:3" ht="21" customHeight="1" x14ac:dyDescent="0.25">
      <c r="B21" s="17" t="s">
        <v>18</v>
      </c>
      <c r="C21" s="9" t="s">
        <v>20</v>
      </c>
    </row>
    <row r="22" spans="1:3" ht="21" customHeight="1" x14ac:dyDescent="0.25">
      <c r="B22" s="17" t="s">
        <v>19</v>
      </c>
      <c r="C22" s="9"/>
    </row>
  </sheetData>
  <mergeCells count="1">
    <mergeCell ref="C21:C22"/>
  </mergeCells>
  <pageMargins left="0.7" right="0.7" top="0.75" bottom="0.75" header="0.3" footer="0.3"/>
  <pageSetup scale="8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B7F9-4B2A-4C1A-A9B3-067FB6E71BBE}">
  <sheetPr>
    <pageSetUpPr fitToPage="1"/>
  </sheetPr>
  <dimension ref="A1:D16"/>
  <sheetViews>
    <sheetView tabSelected="1" workbookViewId="0">
      <selection activeCell="F4" sqref="F4"/>
    </sheetView>
  </sheetViews>
  <sheetFormatPr defaultColWidth="29.7109375" defaultRowHeight="41.25" customHeight="1" x14ac:dyDescent="0.25"/>
  <cols>
    <col min="1" max="1" width="8" customWidth="1"/>
    <col min="2" max="2" width="35.5703125" customWidth="1"/>
    <col min="3" max="3" width="66.42578125" customWidth="1"/>
    <col min="4" max="4" width="21.85546875" style="2" customWidth="1"/>
  </cols>
  <sheetData>
    <row r="1" spans="1:4" ht="41.25" customHeight="1" x14ac:dyDescent="0.25">
      <c r="A1" s="21" t="s">
        <v>25</v>
      </c>
    </row>
    <row r="2" spans="1:4" ht="41.25" customHeight="1" x14ac:dyDescent="0.25">
      <c r="A2" s="24" t="s">
        <v>26</v>
      </c>
    </row>
    <row r="3" spans="1:4" ht="41.25" customHeight="1" x14ac:dyDescent="0.25">
      <c r="A3" s="23" t="s">
        <v>27</v>
      </c>
      <c r="B3" s="23" t="s">
        <v>28</v>
      </c>
      <c r="C3" s="23" t="s">
        <v>29</v>
      </c>
      <c r="D3" s="23" t="s">
        <v>21</v>
      </c>
    </row>
    <row r="4" spans="1:4" ht="41.25" customHeight="1" x14ac:dyDescent="0.25">
      <c r="A4" s="25">
        <v>1</v>
      </c>
      <c r="B4" s="26" t="s">
        <v>30</v>
      </c>
      <c r="C4" s="26" t="s">
        <v>31</v>
      </c>
      <c r="D4" s="29">
        <v>60</v>
      </c>
    </row>
    <row r="5" spans="1:4" ht="41.25" customHeight="1" x14ac:dyDescent="0.25">
      <c r="A5" s="25">
        <v>2</v>
      </c>
      <c r="B5" s="26" t="s">
        <v>32</v>
      </c>
      <c r="C5" s="26" t="s">
        <v>33</v>
      </c>
      <c r="D5" s="29">
        <v>10</v>
      </c>
    </row>
    <row r="6" spans="1:4" ht="41.25" customHeight="1" x14ac:dyDescent="0.25">
      <c r="A6" s="25">
        <v>3</v>
      </c>
      <c r="B6" s="26" t="s">
        <v>34</v>
      </c>
      <c r="C6" s="26" t="s">
        <v>35</v>
      </c>
      <c r="D6" s="29">
        <v>30</v>
      </c>
    </row>
    <row r="7" spans="1:4" ht="41.25" customHeight="1" x14ac:dyDescent="0.25">
      <c r="A7" s="25">
        <v>4</v>
      </c>
      <c r="B7" s="26" t="s">
        <v>36</v>
      </c>
      <c r="C7" s="26" t="s">
        <v>37</v>
      </c>
      <c r="D7" s="29">
        <v>20</v>
      </c>
    </row>
    <row r="8" spans="1:4" ht="41.25" customHeight="1" x14ac:dyDescent="0.25">
      <c r="A8" s="25">
        <v>5</v>
      </c>
      <c r="B8" s="26" t="s">
        <v>38</v>
      </c>
      <c r="C8" s="26" t="s">
        <v>39</v>
      </c>
      <c r="D8" s="29">
        <v>20</v>
      </c>
    </row>
    <row r="9" spans="1:4" ht="41.25" customHeight="1" x14ac:dyDescent="0.25">
      <c r="A9" s="25">
        <v>6</v>
      </c>
      <c r="B9" s="26" t="s">
        <v>40</v>
      </c>
      <c r="C9" s="26" t="s">
        <v>41</v>
      </c>
      <c r="D9" s="29">
        <v>10</v>
      </c>
    </row>
    <row r="10" spans="1:4" ht="34.5" customHeight="1" x14ac:dyDescent="0.25">
      <c r="A10" s="22"/>
      <c r="C10" s="27" t="s">
        <v>22</v>
      </c>
      <c r="D10" s="30">
        <f>SUM(D4:D9)</f>
        <v>150</v>
      </c>
    </row>
    <row r="11" spans="1:4" ht="34.5" customHeight="1" x14ac:dyDescent="0.25">
      <c r="C11" s="27" t="s">
        <v>42</v>
      </c>
      <c r="D11" s="30">
        <f>$D$10*12</f>
        <v>1800</v>
      </c>
    </row>
    <row r="12" spans="1:4" ht="34.5" customHeight="1" x14ac:dyDescent="0.25">
      <c r="C12" s="28">
        <v>20</v>
      </c>
      <c r="D12" s="30">
        <f>$D$11*$C$12/100</f>
        <v>360</v>
      </c>
    </row>
    <row r="13" spans="1:4" ht="34.5" customHeight="1" x14ac:dyDescent="0.25">
      <c r="C13" s="15" t="s">
        <v>23</v>
      </c>
      <c r="D13" s="31">
        <f>D11-D12</f>
        <v>1440</v>
      </c>
    </row>
    <row r="14" spans="1:4" ht="41.25" customHeight="1" x14ac:dyDescent="0.25">
      <c r="B14" s="1" t="s">
        <v>17</v>
      </c>
    </row>
    <row r="15" spans="1:4" ht="31.5" customHeight="1" x14ac:dyDescent="0.25">
      <c r="B15" s="32" t="s">
        <v>43</v>
      </c>
    </row>
    <row r="16" spans="1:4" ht="31.5" customHeight="1" x14ac:dyDescent="0.25">
      <c r="B16" s="32" t="s">
        <v>44</v>
      </c>
      <c r="C16" s="33"/>
    </row>
  </sheetData>
  <pageMargins left="0.7" right="0.7" top="0.75" bottom="0.75" header="0.3" footer="0.3"/>
  <pageSetup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35% dis</vt:lpstr>
      <vt:lpstr>monthly-fee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Sambath Mean</dc:creator>
  <cp:lastModifiedBy>Sambath Mean</cp:lastModifiedBy>
  <cp:lastPrinted>2026-06-16T15:37:10Z</cp:lastPrinted>
  <dcterms:created xsi:type="dcterms:W3CDTF">2026-06-14T16:24:53Z</dcterms:created>
  <dcterms:modified xsi:type="dcterms:W3CDTF">2026-06-16T16:10:13Z</dcterms:modified>
</cp:coreProperties>
</file>